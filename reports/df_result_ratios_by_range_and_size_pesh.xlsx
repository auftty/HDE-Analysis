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sk_D\own\Python\ege\olimps\dano\project_part\DANO-HDE-X5-GROUP-ANALYSIS\reports\"/>
    </mc:Choice>
  </mc:AlternateContent>
  <xr:revisionPtr revIDLastSave="0" documentId="13_ncr:1_{078D6E01-8592-4B7E-8795-6055305254D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<sst xmlns="http://schemas.openxmlformats.org/spreadsheetml/2006/main" count="28" uniqueCount="25">
  <si>
    <t>range</t>
  </si>
  <si>
    <t>small_traffic_ratio</t>
  </si>
  <si>
    <t>medium_traffic_ratio</t>
  </si>
  <si>
    <t>large_plus_traffic_ratio</t>
  </si>
  <si>
    <t>small_check_ratio</t>
  </si>
  <si>
    <t>medium_check_ratio</t>
  </si>
  <si>
    <t>large_plus_check_ratio</t>
  </si>
  <si>
    <t>40&lt;x&lt;70</t>
  </si>
  <si>
    <t>x&lt;40</t>
  </si>
  <si>
    <t>x&gt;70</t>
  </si>
  <si>
    <t>трафик пешеходный</t>
  </si>
  <si>
    <t>там где школ нет просто нан</t>
  </si>
  <si>
    <t>ria_group</t>
  </si>
  <si>
    <t>mean_diff_traf_large_plus</t>
  </si>
  <si>
    <t>mean_diff_traf_medium</t>
  </si>
  <si>
    <t>mean_diff_traf_small</t>
  </si>
  <si>
    <t>p_traf_large_plus</t>
  </si>
  <si>
    <t>p_traf_medium</t>
  </si>
  <si>
    <t>p_traf_small</t>
  </si>
  <si>
    <t>mean_diff_check_large_plus</t>
  </si>
  <si>
    <t>mean_diff_check_medium</t>
  </si>
  <si>
    <t>mean_diff_check_small</t>
  </si>
  <si>
    <t>p_check_large_plus</t>
  </si>
  <si>
    <t>p_check_medium</t>
  </si>
  <si>
    <t>p_check_small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</si>
</sst>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small_traffic_ratio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1.197857451113262</c:v>
                </c:pt>
                <c:pt idx="1">
                  <c:v>1.082084171915185</c:v>
                </c:pt>
                <c:pt idx="2">
                  <c:v>1.43848447356493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E-4A13-9ECF-293F8732F49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medium_traffic_ratio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1.256883224179542</c:v>
                </c:pt>
                <c:pt idx="1">
                  <c:v>1.1608009637383381</c:v>
                </c:pt>
                <c:pt idx="2">
                  <c:v>1.4035915031988691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E-4A13-9ECF-293F8732F49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large_plus_traffic_ratio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1.0898156601241049</c:v>
                </c:pt>
                <c:pt idx="1">
                  <c:v>1.049043624578514</c:v>
                </c:pt>
                <c:pt idx="2">
                  <c:v>1.0591947984359831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E-4A13-9ECF-293F8732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520720"/>
        <c:axId val="1354521200"/>
      </c:barChart>
      <c:catAx>
        <c:axId val="135452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4521200"/>
        <c:crosses val="autoZero"/>
        <c:auto val="1"/>
        <c:lblAlgn val="ctr"/>
        <c:lblOffset val="100"/>
        <c:noMultiLvlLbl val="0"/>
      </c:catAx>
      <c:valAx>
        <c:axId val="13545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45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чек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954306504194174E-2"/>
          <c:y val="0.1294589877835951"/>
          <c:w val="0.91062878667544078"/>
          <c:h val="0.73066881037776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small_check_ratio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0.95808990228044488</c:v>
                </c:pt>
                <c:pt idx="1">
                  <c:v>0.9987640640635137</c:v>
                </c:pt>
                <c:pt idx="2">
                  <c:v>0.95566140886178008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0E-435B-BCC7-C7C8C3E34888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medium_check_ratio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0.98819113655104562</c:v>
                </c:pt>
                <c:pt idx="1">
                  <c:v>0.96738846947510004</c:v>
                </c:pt>
                <c:pt idx="2">
                  <c:v>0.98487652290930205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0E-435B-BCC7-C7C8C3E34888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large_plus_check_ratio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1.0062166249238449</c:v>
                </c:pt>
                <c:pt idx="1">
                  <c:v>0.90984752481681797</c:v>
                </c:pt>
                <c:pt idx="2">
                  <c:v>0.94744252830896414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0E-435B-BCC7-C7C8C3E34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54530800"/>
        <c:axId val="1354534160"/>
      </c:barChart>
      <c:catAx>
        <c:axId val="13545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4534160"/>
        <c:crosses val="autoZero"/>
        <c:auto val="1"/>
        <c:lblAlgn val="ctr"/>
        <c:lblOffset val="100"/>
        <c:noMultiLvlLbl val="0"/>
      </c:catAx>
      <c:valAx>
        <c:axId val="1354534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45308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Разница трафика в час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mean_diff_traf_large_plus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Лист1!$B$2:$B$4</c:f>
              <c:numCache>
                <c:formatCode>0.00</c:formatCode>
                <c:ptCount val="3"/>
                <c:pt idx="0">
                  <c:v>-1.6492657100000001</c:v>
                </c:pt>
                <c:pt idx="1">
                  <c:v>-3.2315559619999998</c:v>
                </c:pt>
                <c:pt idx="2">
                  <c:v>2.8821196869999999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4-4409-8FC5-5471A468A9BB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mean_diff_traf_medium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Лист1!$C$2:$C$4</c:f>
              <c:numCache>
                <c:formatCode>0.00</c:formatCode>
                <c:ptCount val="3"/>
                <c:pt idx="0">
                  <c:v>12.024786349999999</c:v>
                </c:pt>
                <c:pt idx="1">
                  <c:v>17.17005417</c:v>
                </c:pt>
                <c:pt idx="2">
                  <c:v>13.60149756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4-4409-8FC5-5471A468A9BB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mean_diff_traf_small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Лист1!$D$2:$D$4</c:f>
              <c:numCache>
                <c:formatCode>0.00</c:formatCode>
                <c:ptCount val="3"/>
                <c:pt idx="0">
                  <c:v>14.73375244</c:v>
                </c:pt>
                <c:pt idx="1">
                  <c:v>2.3197406049999998</c:v>
                </c:pt>
                <c:pt idx="2">
                  <c:v>9.7467233750000002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4-4409-8FC5-5471A468A9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309104"/>
        <c:axId val="336307664"/>
      </c:barChart>
      <c:catAx>
        <c:axId val="3363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07664"/>
        <c:crosses val="autoZero"/>
        <c:auto val="1"/>
        <c:lblAlgn val="ctr"/>
        <c:lblOffset val="100"/>
        <c:noMultiLvlLbl val="0"/>
      </c:catAx>
      <c:valAx>
        <c:axId val="3363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0910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Разница среднего чека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mean_diff_check_large_plus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Лист1!$H$2:$H$4</c:f>
              <c:numCache>
                <c:formatCode>0.00</c:formatCode>
                <c:ptCount val="3"/>
                <c:pt idx="0">
                  <c:v>-7.5782648950000002</c:v>
                </c:pt>
                <c:pt idx="1">
                  <c:v>-114.3674429</c:v>
                </c:pt>
                <c:pt idx="2">
                  <c:v>-96.866039049999998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C-4D99-B586-F5553D993409}"/>
            </c:ext>
          </c:extLst>
        </c:ser>
        <c:ser>
          <c:idx val="1"/>
          <c:order val="1"/>
          <c:tx>
            <c:strRef>
              <c:f>Лист1!$I$1</c:f>
              <c:strCache>
                <c:ptCount val="1"/>
                <c:pt idx="0">
                  <c:v>mean_diff_check_medium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Лист1!$I$2:$I$4</c:f>
              <c:numCache>
                <c:formatCode>0.00</c:formatCode>
                <c:ptCount val="3"/>
                <c:pt idx="0">
                  <c:v>-33.624382660000002</c:v>
                </c:pt>
                <c:pt idx="1">
                  <c:v>-48.581196499999997</c:v>
                </c:pt>
                <c:pt idx="2">
                  <c:v>-26.41078061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C-4D99-B586-F5553D993409}"/>
            </c:ext>
          </c:extLst>
        </c:ser>
        <c:ser>
          <c:idx val="2"/>
          <c:order val="2"/>
          <c:tx>
            <c:strRef>
              <c:f>Лист1!$J$1</c:f>
              <c:strCache>
                <c:ptCount val="1"/>
                <c:pt idx="0">
                  <c:v>mean_diff_check_small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Лист1!$A$2:$A$4</c:f>
              <c:strCache>
                <c:ptCount val="3"/>
                <c:pt idx="0">
                  <c:v>40&lt;x&lt;70</c:v>
                </c:pt>
                <c:pt idx="1">
                  <c:v>x&lt;40</c:v>
                </c:pt>
                <c:pt idx="2">
                  <c:v>x&gt;70</c:v>
                </c:pt>
              </c:strCache>
            </c:strRef>
          </c:cat>
          <c:val>
            <c:numRef>
              <c:f>Лист1!$J$2:$J$4</c:f>
              <c:numCache>
                <c:formatCode>0.00</c:formatCode>
                <c:ptCount val="3"/>
                <c:pt idx="0">
                  <c:v>-40.523752299999998</c:v>
                </c:pt>
                <c:pt idx="1">
                  <c:v>-21.088183900000001</c:v>
                </c:pt>
                <c:pt idx="2">
                  <c:v>-58.282156190000002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C-4D99-B586-F5553D993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286544"/>
        <c:axId val="336283664"/>
      </c:barChart>
      <c:catAx>
        <c:axId val="33628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283664"/>
        <c:crosses val="autoZero"/>
        <c:auto val="1"/>
        <c:lblAlgn val="ctr"/>
        <c:lblOffset val="100"/>
        <c:noMultiLvlLbl val="0"/>
      </c:catAx>
      <c:valAx>
        <c:axId val="3362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28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4</xdr:row>
      <xdr:rowOff>87630</xdr:rowOff>
    </xdr:from>
    <xdr:to>
      <xdr:col>4</xdr:col>
      <xdr:colOff>198120</xdr:colOff>
      <xdr:row>23</xdr:row>
      <xdr:rowOff>106680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0672CDD-2E94-EC40-61C5-C0ED118F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320040</xdr:colOff>
      <xdr:row>4</xdr:row>
      <xdr:rowOff>160020</xdr:rowOff>
    </xdr:from>
    <xdr:to>
      <xdr:col>9</xdr:col>
      <xdr:colOff>289560</xdr:colOff>
      <xdr:row>24</xdr:row>
      <xdr:rowOff>129540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3B63DAD-ACD4-177A-1AF3-27166178E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174307</xdr:rowOff>
    </xdr:from>
    <xdr:to>
      <xdr:col>3</xdr:col>
      <xdr:colOff>958215</xdr:colOff>
      <xdr:row>25</xdr:row>
      <xdr:rowOff>74295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59968D-7B94-201D-38A0-FF56EA47B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1283017</xdr:colOff>
      <xdr:row>4</xdr:row>
      <xdr:rowOff>140016</xdr:rowOff>
    </xdr:from>
    <xdr:to>
      <xdr:col>7</xdr:col>
      <xdr:colOff>1504950</xdr:colOff>
      <xdr:row>25</xdr:row>
      <xdr:rowOff>108584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D75593-6EBB-B4E9-1284-73922F85F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zoomScale="85" zoomScaleNormal="85" workbookViewId="0">
      <selection activeCell="I27" sqref="I27"/>
    </sheetView>
  </sheetViews>
  <sheetFormatPr defaultRowHeight="14.4" x14ac:dyDescent="0.3"/>
  <cols>
    <col min="2" max="2" width="16.33203125" bestFit="1" customWidth="1"/>
    <col min="3" max="3" width="19.109375" bestFit="1" customWidth="1"/>
    <col min="4" max="4" width="20.6640625" bestFit="1" customWidth="1"/>
    <col min="5" max="5" width="16.21875" bestFit="1" customWidth="1"/>
    <col min="6" max="6" width="19" bestFit="1" customWidth="1"/>
    <col min="7" max="7" width="20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t="s">
        <v>7</v>
      </c>
      <c r="B2">
        <v>1.197857451113262</v>
      </c>
      <c r="C2">
        <v>1.256883224179542</v>
      </c>
      <c r="D2">
        <v>1.0898156601241049</v>
      </c>
      <c r="E2">
        <v>0.95808990228044488</v>
      </c>
      <c r="F2">
        <v>0.98819113655104562</v>
      </c>
      <c r="G2">
        <v>1.0062166249238449</v>
      </c>
      <c r="L2" t="s">
        <v>10</v>
      </c>
    </row>
    <row r="3" spans="1:12" x14ac:dyDescent="0.3">
      <c r="A3" t="s">
        <v>8</v>
      </c>
      <c r="B3">
        <v>1.082084171915185</v>
      </c>
      <c r="C3">
        <v>1.1608009637383381</v>
      </c>
      <c r="D3">
        <v>1.049043624578514</v>
      </c>
      <c r="E3">
        <v>0.9987640640635137</v>
      </c>
      <c r="F3">
        <v>0.96738846947510004</v>
      </c>
      <c r="G3">
        <v>0.90984752481681797</v>
      </c>
      <c r="L3" t="s">
        <v>11</v>
      </c>
    </row>
    <row r="4" spans="1:12" x14ac:dyDescent="0.3">
      <c r="A4" t="s">
        <v>9</v>
      </c>
      <c r="B4">
        <v>1.43848447356493</v>
      </c>
      <c r="C4">
        <v>1.4035915031988691</v>
      </c>
      <c r="D4">
        <v>1.0591947984359831</v>
      </c>
      <c r="E4">
        <v>0.95566140886178008</v>
      </c>
      <c r="F4">
        <v>0.98487652290930205</v>
      </c>
      <c r="G4">
        <v>0.94744252830896414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AC03-D1C0-4311-AF41-C9E8D3142956}">
  <dimension ref="A1:M4"/>
  <sheetViews>
    <sheetView tabSelected="1" workbookViewId="0">
      <selection activeCell="F34" sqref="F34"/>
    </sheetView>
  </sheetViews>
  <sheetFormatPr defaultRowHeight="14.4" x14ac:dyDescent="0.3"/>
  <cols>
    <col min="2" max="2" width="24.109375" bestFit="1" customWidth="1"/>
    <col min="3" max="3" width="22.44140625" bestFit="1" customWidth="1"/>
    <col min="4" max="4" width="19.6640625" bestFit="1" customWidth="1"/>
    <col min="5" max="5" width="16.21875" bestFit="1" customWidth="1"/>
    <col min="6" max="6" width="14.5546875" bestFit="1" customWidth="1"/>
    <col min="7" max="7" width="12.44140625" bestFit="1" customWidth="1"/>
    <col min="8" max="8" width="26.109375" bestFit="1" customWidth="1"/>
    <col min="9" max="9" width="24.33203125" bestFit="1" customWidth="1"/>
    <col min="10" max="10" width="21.6640625" bestFit="1" customWidth="1"/>
    <col min="11" max="11" width="18" bestFit="1" customWidth="1"/>
    <col min="12" max="12" width="16.21875" bestFit="1" customWidth="1"/>
    <col min="13" max="13" width="13.5546875" bestFit="1" customWidth="1"/>
  </cols>
  <sheetData>
    <row r="1" spans="1:13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">
      <c r="A2" t="s">
        <v>7</v>
      </c>
      <c r="B2" s="3">
        <v>-1.6492657100000001</v>
      </c>
      <c r="C2" s="3">
        <v>12.024786349999999</v>
      </c>
      <c r="D2" s="3">
        <v>14.73375244</v>
      </c>
      <c r="E2" s="2">
        <v>0.76783721400000005</v>
      </c>
      <c r="F2" s="2">
        <v>4.0810800000000001E-6</v>
      </c>
      <c r="G2" s="2">
        <v>3.5492999999999999E-4</v>
      </c>
      <c r="H2" s="3">
        <v>-7.5782648950000002</v>
      </c>
      <c r="I2" s="3">
        <v>-33.624382660000002</v>
      </c>
      <c r="J2" s="3">
        <v>-40.523752299999998</v>
      </c>
      <c r="K2" s="2">
        <v>0.70537941199999998</v>
      </c>
      <c r="L2" s="2">
        <v>1.3576910000000001E-3</v>
      </c>
      <c r="M2" s="2">
        <v>2.0353999999999999E-4</v>
      </c>
    </row>
    <row r="3" spans="1:13" x14ac:dyDescent="0.3">
      <c r="A3" t="s">
        <v>8</v>
      </c>
      <c r="B3" s="3">
        <v>-3.2315559619999998</v>
      </c>
      <c r="C3" s="3">
        <v>17.17005417</v>
      </c>
      <c r="D3" s="3">
        <v>2.3197406049999998</v>
      </c>
      <c r="E3" s="2">
        <v>0.71882846</v>
      </c>
      <c r="F3" s="2">
        <v>1.0500489999999999E-3</v>
      </c>
      <c r="G3" s="2">
        <v>0.81298363200000001</v>
      </c>
      <c r="H3" s="3">
        <v>-114.3674429</v>
      </c>
      <c r="I3" s="3">
        <v>-48.581196499999997</v>
      </c>
      <c r="J3" s="3">
        <v>-21.088183900000001</v>
      </c>
      <c r="K3" s="2">
        <v>1.2743964999999999E-2</v>
      </c>
      <c r="L3" s="2">
        <v>2.4287572E-2</v>
      </c>
      <c r="M3" s="2">
        <v>0.48856082499999998</v>
      </c>
    </row>
    <row r="4" spans="1:13" x14ac:dyDescent="0.3">
      <c r="A4" t="s">
        <v>9</v>
      </c>
      <c r="B4" s="3">
        <v>2.8821196869999999</v>
      </c>
      <c r="C4" s="3">
        <v>13.60149756</v>
      </c>
      <c r="D4" s="3">
        <v>9.7467233750000002</v>
      </c>
      <c r="E4" s="2">
        <v>0.57153481699999997</v>
      </c>
      <c r="F4" s="2">
        <v>2.9358800000000001E-5</v>
      </c>
      <c r="G4" s="2">
        <v>3.8807816000000002E-2</v>
      </c>
      <c r="H4" s="3">
        <v>-96.866039049999998</v>
      </c>
      <c r="I4" s="3">
        <v>-26.41078061</v>
      </c>
      <c r="J4" s="3">
        <v>-58.282156190000002</v>
      </c>
      <c r="K4" s="2">
        <v>1.041731E-3</v>
      </c>
      <c r="L4" s="2">
        <v>4.3904538E-2</v>
      </c>
      <c r="M4" s="2">
        <v>2.2434130000000001E-3</v>
      </c>
    </row>
  </sheetData>
  <conditionalFormatting sqref="E2:G4">
    <cfRule type="cellIs" dxfId="2" priority="2" operator="greaterThan">
      <formula>0.05</formula>
    </cfRule>
  </conditionalFormatting>
  <conditionalFormatting sqref="K2:M4">
    <cfRule type="cellIs" dxfId="0" priority="1" operator="greater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Daria</cp:lastModifiedBy>
  <dcterms:created xsi:type="dcterms:W3CDTF">2025-12-05T08:25:40Z</dcterms:created>
  <dcterms:modified xsi:type="dcterms:W3CDTF">2025-12-07T14:46:19Z</dcterms:modified>
</cp:coreProperties>
</file>