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_D\own\Python\ege\olimps\dano\project_part\DANO-HDE-X5-GROUP-ANALYSIS\reports\"/>
    </mc:Choice>
  </mc:AlternateContent>
  <xr:revisionPtr revIDLastSave="0" documentId="13_ncr:1_{27CA0857-092F-43F4-93CB-87DE76377C8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Выводы" sheetId="1" r:id="rId1"/>
    <sheet name="Цифр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" i="2"/>
</calcChain>
</file>

<file path=xl/sharedStrings.xml><?xml version="1.0" encoding="utf-8"?>
<sst xmlns="http://schemas.openxmlformats.org/spreadsheetml/2006/main" count="120" uniqueCount="49">
  <si>
    <t>Категория размера магазина</t>
  </si>
  <si>
    <t>Вывод по трафику</t>
  </si>
  <si>
    <t>Вывод по среднему чеку</t>
  </si>
  <si>
    <t>Итог по гипотезе</t>
  </si>
  <si>
    <t>&lt;40</t>
  </si>
  <si>
    <t>40–70</t>
  </si>
  <si>
    <t>&gt;70</t>
  </si>
  <si>
    <t>Маленький</t>
  </si>
  <si>
    <t>Средний</t>
  </si>
  <si>
    <t>Большой+Очень большой</t>
  </si>
  <si>
    <t>Статистически значимых отличий нет (трафик у школ ≈ без школ)</t>
  </si>
  <si>
    <t>Трафик у школ статистически выше, чем без школ</t>
  </si>
  <si>
    <t>Статистически значимых отличий по трафику нет</t>
  </si>
  <si>
    <t>Статистически значимых отличий нет (чек у школ ≈ без школ)</t>
  </si>
  <si>
    <t>Статистически значимых отличий по чеку нет</t>
  </si>
  <si>
    <t>Чек у школ статистически ниже, чем без школ</t>
  </si>
  <si>
    <t>Чек у школ примерно такой же, эффект слабый</t>
  </si>
  <si>
    <t>Чек у школ примерно такой же, без устойчивых отличий</t>
  </si>
  <si>
    <t>Чек у школ немного ниже, эффект по разным тестам слабее</t>
  </si>
  <si>
    <t>Не подтверждена для этой группы</t>
  </si>
  <si>
    <t>Частично подтверждена (только трафик)</t>
  </si>
  <si>
    <t>Частично подтверждена (только чек)</t>
  </si>
  <si>
    <t>Подтверждена (трафик выше, чек ниже)</t>
  </si>
  <si>
    <t>Частично подтверждена (в основном за счёт трафика)</t>
  </si>
  <si>
    <t>Частично подтверждена (главный эффект — трафик)</t>
  </si>
  <si>
    <t>Частично подтверждена (трафик уверенно, чек слабее)</t>
  </si>
  <si>
    <t>Группа региона по индексу</t>
  </si>
  <si>
    <t>t_stat_welch</t>
  </si>
  <si>
    <t>p_value_welch</t>
  </si>
  <si>
    <t>u_stat_mw</t>
  </si>
  <si>
    <t>p_value_mw</t>
  </si>
  <si>
    <t>small</t>
  </si>
  <si>
    <t>traffic</t>
  </si>
  <si>
    <t>check</t>
  </si>
  <si>
    <t>medium</t>
  </si>
  <si>
    <t>large_plus</t>
  </si>
  <si>
    <t>таргет</t>
  </si>
  <si>
    <t>размер</t>
  </si>
  <si>
    <t>индекс</t>
  </si>
  <si>
    <t>N записей, где есть школы</t>
  </si>
  <si>
    <t>N записей, где нет школ</t>
  </si>
  <si>
    <t>медиана таргета, там где школ нет</t>
  </si>
  <si>
    <t>медиана таргета, там где школы есть</t>
  </si>
  <si>
    <t>отношение средних: школы есть/школ нет</t>
  </si>
  <si>
    <t>Дополнение</t>
  </si>
  <si>
    <t>Данных мало, возможно проблема в этом+на средних прекрасно работает</t>
  </si>
  <si>
    <t>Чек у школ немного ниже, эффект несильный</t>
  </si>
  <si>
    <t>среднее значение целевой переменной, там где школы есть</t>
  </si>
  <si>
    <t>среднее значение целевой переменной, там где школ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</si>
</sst>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2" borderId="0" xfId="1" applyAlignment="1">
      <alignment wrapText="1"/>
    </xf>
    <xf numFmtId="0" fontId="0" fillId="0" borderId="0" xfId="0" applyAlignment="1">
      <alignment horizontal="center" vertical="center" wrapText="1"/>
    </xf>
  </cellXfs>
  <cellStyles count="2">
    <cellStyle name="Нейтральный" xfId="1" builtinId="2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06397737651748E-2"/>
          <c:y val="0.10238787594765349"/>
          <c:w val="0.90272630361515938"/>
          <c:h val="0.732324876080296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Цифры!$F$1</c:f>
              <c:strCache>
                <c:ptCount val="1"/>
                <c:pt idx="0">
                  <c:v>среднее значение целевой переменной, там где школы есть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(Цифры!$O$2,Цифры!$O$4,Цифры!$O$6,Цифры!$O$8,Цифры!$O$10,Цифры!$O$12,Цифры!$O$14,Цифры!$O$16,Цифры!$O$18)</c:f>
              <c:strCache>
                <c:ptCount val="9"/>
                <c:pt idx="0">
                  <c:v>&lt;40 small</c:v>
                </c:pt>
                <c:pt idx="1">
                  <c:v>&lt;40 medium</c:v>
                </c:pt>
                <c:pt idx="2">
                  <c:v>&lt;40 large_plus</c:v>
                </c:pt>
                <c:pt idx="3">
                  <c:v>40–70 small</c:v>
                </c:pt>
                <c:pt idx="4">
                  <c:v>40–70 medium</c:v>
                </c:pt>
                <c:pt idx="5">
                  <c:v>40–70 large_plus</c:v>
                </c:pt>
                <c:pt idx="6">
                  <c:v>&gt;70 small</c:v>
                </c:pt>
                <c:pt idx="7">
                  <c:v>&gt;70 medium</c:v>
                </c:pt>
                <c:pt idx="8">
                  <c:v>&gt;70 large_plus</c:v>
                </c:pt>
              </c:strCache>
            </c:strRef>
          </c:cat>
          <c:val>
            <c:numRef>
              <c:f>(Цифры!$F$2,Цифры!$F$4,Цифры!$F$6,Цифры!$F$8,Цифры!$F$10,Цифры!$F$12,Цифры!$F$14,Цифры!$F$16,Цифры!$F$18)</c:f>
              <c:numCache>
                <c:formatCode>General</c:formatCode>
                <c:ptCount val="9"/>
                <c:pt idx="0">
                  <c:v>134.35435912680111</c:v>
                </c:pt>
                <c:pt idx="1">
                  <c:v>142.3914156211921</c:v>
                </c:pt>
                <c:pt idx="2">
                  <c:v>155.69260726190481</c:v>
                </c:pt>
                <c:pt idx="3">
                  <c:v>140.71805166126731</c:v>
                </c:pt>
                <c:pt idx="4">
                  <c:v>137.49711042078209</c:v>
                </c:pt>
                <c:pt idx="5">
                  <c:v>149.34348725895839</c:v>
                </c:pt>
                <c:pt idx="6">
                  <c:v>157.4757419214628</c:v>
                </c:pt>
                <c:pt idx="7">
                  <c:v>154.45347696809679</c:v>
                </c:pt>
                <c:pt idx="8">
                  <c:v>180.3230714364027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5-40D9-8305-44C163864103}"/>
            </c:ext>
          </c:extLst>
        </c:ser>
        <c:ser>
          <c:idx val="1"/>
          <c:order val="1"/>
          <c:tx>
            <c:strRef>
              <c:f>Цифры!$G$1</c:f>
              <c:strCache>
                <c:ptCount val="1"/>
                <c:pt idx="0">
                  <c:v>среднее значение целевой переменной, там где школ нет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(Цифры!$O$2,Цифры!$O$4,Цифры!$O$6,Цифры!$O$8,Цифры!$O$10,Цифры!$O$12,Цифры!$O$14,Цифры!$O$16,Цифры!$O$18)</c:f>
              <c:strCache>
                <c:ptCount val="9"/>
                <c:pt idx="0">
                  <c:v>&lt;40 small</c:v>
                </c:pt>
                <c:pt idx="1">
                  <c:v>&lt;40 medium</c:v>
                </c:pt>
                <c:pt idx="2">
                  <c:v>&lt;40 large_plus</c:v>
                </c:pt>
                <c:pt idx="3">
                  <c:v>40–70 small</c:v>
                </c:pt>
                <c:pt idx="4">
                  <c:v>40–70 medium</c:v>
                </c:pt>
                <c:pt idx="5">
                  <c:v>40–70 large_plus</c:v>
                </c:pt>
                <c:pt idx="6">
                  <c:v>&gt;70 small</c:v>
                </c:pt>
                <c:pt idx="7">
                  <c:v>&gt;70 medium</c:v>
                </c:pt>
                <c:pt idx="8">
                  <c:v>&gt;70 large_plus</c:v>
                </c:pt>
              </c:strCache>
            </c:strRef>
          </c:cat>
          <c:val>
            <c:numRef>
              <c:f>(Цифры!$G$2,Цифры!$G$4,Цифры!$G$6,Цифры!$G$8,Цифры!$G$10,Цифры!$G$12,Цифры!$G$14,Цифры!$G$16,Цифры!$G$18)</c:f>
              <c:numCache>
                <c:formatCode>General</c:formatCode>
                <c:ptCount val="9"/>
                <c:pt idx="0">
                  <c:v>134.46550636466159</c:v>
                </c:pt>
                <c:pt idx="1">
                  <c:v>123.6105347591957</c:v>
                </c:pt>
                <c:pt idx="2">
                  <c:v>159.7174198730159</c:v>
                </c:pt>
                <c:pt idx="3">
                  <c:v>125.6436071628584</c:v>
                </c:pt>
                <c:pt idx="4">
                  <c:v>123.1008291371884</c:v>
                </c:pt>
                <c:pt idx="5">
                  <c:v>146.6176046895265</c:v>
                </c:pt>
                <c:pt idx="6">
                  <c:v>130.75635540982529</c:v>
                </c:pt>
                <c:pt idx="7">
                  <c:v>131.1783034539275</c:v>
                </c:pt>
                <c:pt idx="8">
                  <c:v>160.75183423305501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5-40D9-8305-44C16386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09663"/>
        <c:axId val="57324063"/>
      </c:barChart>
      <c:catAx>
        <c:axId val="573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4063"/>
        <c:crosses val="autoZero"/>
        <c:auto val="1"/>
        <c:lblAlgn val="ctr"/>
        <c:lblOffset val="100"/>
        <c:noMultiLvlLbl val="0"/>
      </c:catAx>
      <c:valAx>
        <c:axId val="5732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0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386921715921413"/>
          <c:y val="8.3254567064352455E-2"/>
          <c:w val="0.33427242798573076"/>
          <c:h val="0.15886785444461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чек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8575206377349461E-2"/>
          <c:y val="0.17195178488641633"/>
          <c:w val="0.87062104748489777"/>
          <c:h val="0.67126967253630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Цифры!$F$1</c:f>
              <c:strCache>
                <c:ptCount val="1"/>
                <c:pt idx="0">
                  <c:v>среднее значение целевой переменной, там где школы есть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(Цифры!$O$3,Цифры!$O$5,Цифры!$O$7,Цифры!$O$9,Цифры!$O$11,Цифры!$O$13,Цифры!$O$15,Цифры!$O$17,Цифры!$O$19)</c:f>
              <c:strCache>
                <c:ptCount val="9"/>
                <c:pt idx="0">
                  <c:v>&lt;40 small</c:v>
                </c:pt>
                <c:pt idx="1">
                  <c:v>&lt;40 medium</c:v>
                </c:pt>
                <c:pt idx="2">
                  <c:v>&lt;40 large_plus</c:v>
                </c:pt>
                <c:pt idx="3">
                  <c:v>40–70 small</c:v>
                </c:pt>
                <c:pt idx="4">
                  <c:v>40–70 medium</c:v>
                </c:pt>
                <c:pt idx="5">
                  <c:v>40–70 large_plus</c:v>
                </c:pt>
                <c:pt idx="6">
                  <c:v>&gt;70 small</c:v>
                </c:pt>
                <c:pt idx="7">
                  <c:v>&gt;70 medium</c:v>
                </c:pt>
                <c:pt idx="8">
                  <c:v>&gt;70 large_plus</c:v>
                </c:pt>
              </c:strCache>
            </c:strRef>
          </c:cat>
          <c:val>
            <c:numRef>
              <c:f>(Цифры!$F$3,Цифры!$F$5,Цифры!$F$7,Цифры!$F$9,Цифры!$F$11,Цифры!$F$13,Цифры!$F$15,Цифры!$F$17,Цифры!$F$19)</c:f>
              <c:numCache>
                <c:formatCode>General</c:formatCode>
                <c:ptCount val="9"/>
                <c:pt idx="0">
                  <c:v>749.07364079079719</c:v>
                </c:pt>
                <c:pt idx="1">
                  <c:v>824.87724610922874</c:v>
                </c:pt>
                <c:pt idx="2">
                  <c:v>975.44819700210144</c:v>
                </c:pt>
                <c:pt idx="3">
                  <c:v>706.88346152582506</c:v>
                </c:pt>
                <c:pt idx="4">
                  <c:v>818.82393054785564</c:v>
                </c:pt>
                <c:pt idx="5">
                  <c:v>1009.583410272617</c:v>
                </c:pt>
                <c:pt idx="6">
                  <c:v>826.39954542314774</c:v>
                </c:pt>
                <c:pt idx="7">
                  <c:v>1008.334717267925</c:v>
                </c:pt>
                <c:pt idx="8">
                  <c:v>1315.813499286493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9-4E81-B59F-74779521B287}"/>
            </c:ext>
          </c:extLst>
        </c:ser>
        <c:ser>
          <c:idx val="1"/>
          <c:order val="1"/>
          <c:tx>
            <c:strRef>
              <c:f>Цифры!$G$1</c:f>
              <c:strCache>
                <c:ptCount val="1"/>
                <c:pt idx="0">
                  <c:v>среднее значение целевой переменной, там где школ нет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(Цифры!$O$3,Цифры!$O$5,Цифры!$O$7,Цифры!$O$9,Цифры!$O$11,Цифры!$O$13,Цифры!$O$15,Цифры!$O$17,Цифры!$O$19)</c:f>
              <c:strCache>
                <c:ptCount val="9"/>
                <c:pt idx="0">
                  <c:v>&lt;40 small</c:v>
                </c:pt>
                <c:pt idx="1">
                  <c:v>&lt;40 medium</c:v>
                </c:pt>
                <c:pt idx="2">
                  <c:v>&lt;40 large_plus</c:v>
                </c:pt>
                <c:pt idx="3">
                  <c:v>40–70 small</c:v>
                </c:pt>
                <c:pt idx="4">
                  <c:v>40–70 medium</c:v>
                </c:pt>
                <c:pt idx="5">
                  <c:v>40–70 large_plus</c:v>
                </c:pt>
                <c:pt idx="6">
                  <c:v>&gt;70 small</c:v>
                </c:pt>
                <c:pt idx="7">
                  <c:v>&gt;70 medium</c:v>
                </c:pt>
                <c:pt idx="8">
                  <c:v>&gt;70 large_plus</c:v>
                </c:pt>
              </c:strCache>
            </c:strRef>
          </c:cat>
          <c:val>
            <c:numRef>
              <c:f>(Цифры!$G$3,Цифры!$G$5,Цифры!$G$7,Цифры!$G$9,Цифры!$G$11,Цифры!$G$13,Цифры!$G$15,Цифры!$G$17,Цифры!$G$19)</c:f>
              <c:numCache>
                <c:formatCode>General</c:formatCode>
                <c:ptCount val="9"/>
                <c:pt idx="0">
                  <c:v>776.85575491054192</c:v>
                </c:pt>
                <c:pt idx="1">
                  <c:v>852.01819838372171</c:v>
                </c:pt>
                <c:pt idx="2">
                  <c:v>999.73233476501321</c:v>
                </c:pt>
                <c:pt idx="3">
                  <c:v>739.89451465295542</c:v>
                </c:pt>
                <c:pt idx="4">
                  <c:v>883.35806856743193</c:v>
                </c:pt>
                <c:pt idx="5">
                  <c:v>1046.3162170763619</c:v>
                </c:pt>
                <c:pt idx="6">
                  <c:v>873.04183454068016</c:v>
                </c:pt>
                <c:pt idx="7">
                  <c:v>988.43433257530876</c:v>
                </c:pt>
                <c:pt idx="8">
                  <c:v>1310.0060672167469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9-4E81-B59F-74779521B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03903"/>
        <c:axId val="57302943"/>
      </c:barChart>
      <c:catAx>
        <c:axId val="573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02943"/>
        <c:crosses val="autoZero"/>
        <c:auto val="1"/>
        <c:lblAlgn val="ctr"/>
        <c:lblOffset val="100"/>
        <c:noMultiLvlLbl val="0"/>
      </c:catAx>
      <c:valAx>
        <c:axId val="573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0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993361475343146"/>
          <c:y val="0.10794531977331072"/>
          <c:w val="0.33967126847033607"/>
          <c:h val="0.16860470122884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447675</xdr:colOff>
      <xdr:row>0</xdr:row>
      <xdr:rowOff>112396</xdr:rowOff>
    </xdr:from>
    <xdr:to>
      <xdr:col>24</xdr:col>
      <xdr:colOff>596265</xdr:colOff>
      <xdr:row>21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FE1251-3443-B8AB-E880-1CD6790C6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304799</xdr:colOff>
      <xdr:row>19</xdr:row>
      <xdr:rowOff>96201</xdr:rowOff>
    </xdr:from>
    <xdr:to>
      <xdr:col>7</xdr:col>
      <xdr:colOff>1257300</xdr:colOff>
      <xdr:row>42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8CC82FD-E126-3807-6FA9-A7F3DBFB5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G6" sqref="G6"/>
    </sheetView>
  </sheetViews>
  <sheetFormatPr defaultRowHeight="14.4" x14ac:dyDescent="0.3"/>
  <cols>
    <col min="1" max="1" width="17.5546875" customWidth="1"/>
    <col min="2" max="2" width="15.77734375" customWidth="1"/>
    <col min="3" max="3" width="32.6640625" customWidth="1"/>
    <col min="4" max="4" width="30.88671875" customWidth="1"/>
    <col min="5" max="5" width="38.88671875" customWidth="1"/>
    <col min="6" max="6" width="18.77734375" customWidth="1"/>
  </cols>
  <sheetData>
    <row r="1" spans="1:6" ht="43.2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44</v>
      </c>
    </row>
    <row r="2" spans="1:6" ht="72" customHeight="1" x14ac:dyDescent="0.3">
      <c r="A2" t="s">
        <v>4</v>
      </c>
      <c r="B2" s="2" t="s">
        <v>7</v>
      </c>
      <c r="C2" s="6" t="s">
        <v>10</v>
      </c>
      <c r="D2" s="6" t="s">
        <v>13</v>
      </c>
      <c r="E2" s="2" t="s">
        <v>19</v>
      </c>
      <c r="F2" s="7" t="s">
        <v>45</v>
      </c>
    </row>
    <row r="3" spans="1:6" ht="28.8" x14ac:dyDescent="0.3">
      <c r="A3" t="s">
        <v>4</v>
      </c>
      <c r="B3" s="2" t="s">
        <v>8</v>
      </c>
      <c r="C3" s="2" t="s">
        <v>11</v>
      </c>
      <c r="D3" s="6" t="s">
        <v>14</v>
      </c>
      <c r="E3" s="2" t="s">
        <v>20</v>
      </c>
      <c r="F3" s="7"/>
    </row>
    <row r="4" spans="1:6" ht="28.8" x14ac:dyDescent="0.3">
      <c r="A4" t="s">
        <v>4</v>
      </c>
      <c r="B4" s="2" t="s">
        <v>9</v>
      </c>
      <c r="C4" s="6" t="s">
        <v>12</v>
      </c>
      <c r="D4" s="2" t="s">
        <v>15</v>
      </c>
      <c r="E4" s="2" t="s">
        <v>21</v>
      </c>
      <c r="F4" s="7"/>
    </row>
    <row r="5" spans="1:6" ht="28.8" x14ac:dyDescent="0.3">
      <c r="A5" t="s">
        <v>5</v>
      </c>
      <c r="B5" s="2" t="s">
        <v>7</v>
      </c>
      <c r="C5" s="2" t="s">
        <v>11</v>
      </c>
      <c r="D5" s="2" t="s">
        <v>15</v>
      </c>
      <c r="E5" s="2" t="s">
        <v>22</v>
      </c>
    </row>
    <row r="6" spans="1:6" ht="28.8" x14ac:dyDescent="0.3">
      <c r="A6" t="s">
        <v>5</v>
      </c>
      <c r="B6" s="2" t="s">
        <v>8</v>
      </c>
      <c r="C6" s="2" t="s">
        <v>11</v>
      </c>
      <c r="D6" s="6" t="s">
        <v>16</v>
      </c>
      <c r="E6" s="2" t="s">
        <v>23</v>
      </c>
    </row>
    <row r="7" spans="1:6" ht="28.8" x14ac:dyDescent="0.3">
      <c r="A7" t="s">
        <v>5</v>
      </c>
      <c r="B7" s="2" t="s">
        <v>9</v>
      </c>
      <c r="C7" s="2" t="s">
        <v>11</v>
      </c>
      <c r="D7" s="6" t="s">
        <v>18</v>
      </c>
      <c r="E7" s="2" t="s">
        <v>24</v>
      </c>
    </row>
    <row r="8" spans="1:6" ht="28.8" x14ac:dyDescent="0.3">
      <c r="A8" t="s">
        <v>6</v>
      </c>
      <c r="B8" s="2" t="s">
        <v>7</v>
      </c>
      <c r="C8" s="2" t="s">
        <v>11</v>
      </c>
      <c r="D8" s="6" t="s">
        <v>17</v>
      </c>
      <c r="E8" s="2" t="s">
        <v>20</v>
      </c>
    </row>
    <row r="9" spans="1:6" ht="28.8" x14ac:dyDescent="0.3">
      <c r="A9" t="s">
        <v>6</v>
      </c>
      <c r="B9" s="2" t="s">
        <v>8</v>
      </c>
      <c r="C9" s="2" t="s">
        <v>11</v>
      </c>
      <c r="D9" s="6" t="s">
        <v>46</v>
      </c>
      <c r="E9" s="2" t="s">
        <v>22</v>
      </c>
    </row>
    <row r="10" spans="1:6" ht="28.8" x14ac:dyDescent="0.3">
      <c r="A10" t="s">
        <v>6</v>
      </c>
      <c r="B10" s="2" t="s">
        <v>9</v>
      </c>
      <c r="C10" s="2" t="s">
        <v>11</v>
      </c>
      <c r="D10" s="6" t="s">
        <v>14</v>
      </c>
      <c r="E10" s="2" t="s">
        <v>25</v>
      </c>
    </row>
  </sheetData>
  <mergeCells count="1"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DA59-E86A-42CF-990B-4E68910196DC}">
  <dimension ref="A1:O19"/>
  <sheetViews>
    <sheetView tabSelected="1" topLeftCell="B1" workbookViewId="0">
      <selection activeCell="Q29" sqref="Q29"/>
    </sheetView>
  </sheetViews>
  <sheetFormatPr defaultRowHeight="14.4" x14ac:dyDescent="0.3"/>
  <cols>
    <col min="1" max="1" width="8.33203125" bestFit="1" customWidth="1"/>
    <col min="2" max="2" width="10.21875" bestFit="1" customWidth="1"/>
    <col min="4" max="4" width="13.5546875" bestFit="1" customWidth="1"/>
    <col min="5" max="5" width="11.44140625" customWidth="1"/>
    <col min="6" max="6" width="17.21875" customWidth="1"/>
    <col min="7" max="7" width="20.44140625" bestFit="1" customWidth="1"/>
    <col min="8" max="8" width="19.109375" bestFit="1" customWidth="1"/>
    <col min="10" max="10" width="11.44140625" customWidth="1"/>
  </cols>
  <sheetData>
    <row r="1" spans="1:15" ht="72" x14ac:dyDescent="0.3">
      <c r="A1" s="3" t="s">
        <v>38</v>
      </c>
      <c r="B1" s="3" t="s">
        <v>37</v>
      </c>
      <c r="C1" s="3" t="s">
        <v>36</v>
      </c>
      <c r="D1" s="4" t="s">
        <v>39</v>
      </c>
      <c r="E1" s="4" t="s">
        <v>40</v>
      </c>
      <c r="F1" s="4" t="s">
        <v>47</v>
      </c>
      <c r="G1" s="4" t="s">
        <v>48</v>
      </c>
      <c r="H1" s="4" t="s">
        <v>42</v>
      </c>
      <c r="I1" s="4" t="s">
        <v>41</v>
      </c>
      <c r="J1" s="4" t="s">
        <v>43</v>
      </c>
      <c r="K1" s="4" t="s">
        <v>27</v>
      </c>
      <c r="L1" s="4" t="s">
        <v>28</v>
      </c>
      <c r="M1" s="4" t="s">
        <v>29</v>
      </c>
      <c r="N1" s="4" t="s">
        <v>30</v>
      </c>
    </row>
    <row r="2" spans="1:15" x14ac:dyDescent="0.3">
      <c r="A2" t="s">
        <v>4</v>
      </c>
      <c r="B2" t="s">
        <v>31</v>
      </c>
      <c r="C2" t="s">
        <v>32</v>
      </c>
      <c r="D2">
        <v>347</v>
      </c>
      <c r="E2">
        <v>798</v>
      </c>
      <c r="F2">
        <v>134.35435912680111</v>
      </c>
      <c r="G2">
        <v>134.46550636466159</v>
      </c>
      <c r="H2">
        <v>116.533333</v>
      </c>
      <c r="I2">
        <v>121.83333349999999</v>
      </c>
      <c r="J2">
        <v>0.99917341449963326</v>
      </c>
      <c r="K2">
        <v>-2.6877159550250041E-2</v>
      </c>
      <c r="L2">
        <v>0.9785640847269359</v>
      </c>
      <c r="M2">
        <v>144395</v>
      </c>
      <c r="N2">
        <v>0.2479293698439626</v>
      </c>
      <c r="O2" t="str">
        <f>A2&amp;" "&amp;B2</f>
        <v>&lt;40 small</v>
      </c>
    </row>
    <row r="3" spans="1:15" x14ac:dyDescent="0.3">
      <c r="A3" t="s">
        <v>4</v>
      </c>
      <c r="B3" t="s">
        <v>31</v>
      </c>
      <c r="C3" t="s">
        <v>33</v>
      </c>
      <c r="D3">
        <v>347</v>
      </c>
      <c r="E3">
        <v>798</v>
      </c>
      <c r="F3">
        <v>749.07364079079719</v>
      </c>
      <c r="G3">
        <v>776.85575491054192</v>
      </c>
      <c r="H3">
        <v>712.20824499576099</v>
      </c>
      <c r="I3">
        <v>750.93782715372845</v>
      </c>
      <c r="J3">
        <v>0.9642377443378225</v>
      </c>
      <c r="K3">
        <v>-2.3200782202546999</v>
      </c>
      <c r="L3">
        <v>2.0583733506609171E-2</v>
      </c>
      <c r="M3">
        <v>129654</v>
      </c>
      <c r="N3">
        <v>8.7087833070928461E-2</v>
      </c>
      <c r="O3" t="str">
        <f t="shared" ref="O3:O19" si="0">A3&amp;" "&amp;B3</f>
        <v>&lt;40 small</v>
      </c>
    </row>
    <row r="4" spans="1:15" x14ac:dyDescent="0.3">
      <c r="A4" t="s">
        <v>4</v>
      </c>
      <c r="B4" t="s">
        <v>34</v>
      </c>
      <c r="C4" t="s">
        <v>32</v>
      </c>
      <c r="D4">
        <v>755</v>
      </c>
      <c r="E4">
        <v>2039</v>
      </c>
      <c r="F4">
        <v>142.3914156211921</v>
      </c>
      <c r="G4">
        <v>123.6105347591957</v>
      </c>
      <c r="H4">
        <v>127.714286</v>
      </c>
      <c r="I4">
        <v>112.1</v>
      </c>
      <c r="J4">
        <v>1.151935924382038</v>
      </c>
      <c r="K4">
        <v>6.3326907925684086</v>
      </c>
      <c r="L4">
        <v>3.3560057978708449E-10</v>
      </c>
      <c r="M4">
        <v>921250.5</v>
      </c>
      <c r="N4">
        <v>1.222149582125636E-15</v>
      </c>
      <c r="O4" t="str">
        <f t="shared" si="0"/>
        <v>&lt;40 medium</v>
      </c>
    </row>
    <row r="5" spans="1:15" x14ac:dyDescent="0.3">
      <c r="A5" t="s">
        <v>4</v>
      </c>
      <c r="B5" t="s">
        <v>34</v>
      </c>
      <c r="C5" t="s">
        <v>33</v>
      </c>
      <c r="D5">
        <v>755</v>
      </c>
      <c r="E5">
        <v>2039</v>
      </c>
      <c r="F5">
        <v>824.87724610922874</v>
      </c>
      <c r="G5">
        <v>852.01819838372171</v>
      </c>
      <c r="H5">
        <v>799.38929131546195</v>
      </c>
      <c r="I5">
        <v>818.174427192243</v>
      </c>
      <c r="J5">
        <v>0.96814510262107156</v>
      </c>
      <c r="K5">
        <v>-2.8801559160305188</v>
      </c>
      <c r="L5">
        <v>4.0330830815346833E-3</v>
      </c>
      <c r="M5">
        <v>716154</v>
      </c>
      <c r="N5">
        <v>4.6703096582154258E-3</v>
      </c>
      <c r="O5" t="str">
        <f t="shared" si="0"/>
        <v>&lt;40 medium</v>
      </c>
    </row>
    <row r="6" spans="1:15" x14ac:dyDescent="0.3">
      <c r="A6" t="s">
        <v>4</v>
      </c>
      <c r="B6" t="s">
        <v>35</v>
      </c>
      <c r="C6" t="s">
        <v>32</v>
      </c>
      <c r="D6">
        <v>252</v>
      </c>
      <c r="E6">
        <v>504</v>
      </c>
      <c r="F6">
        <v>155.69260726190481</v>
      </c>
      <c r="G6">
        <v>159.7174198730159</v>
      </c>
      <c r="H6">
        <v>135.7764425</v>
      </c>
      <c r="I6">
        <v>131.444444</v>
      </c>
      <c r="J6">
        <v>0.97480041554445951</v>
      </c>
      <c r="K6">
        <v>-0.65723095238217444</v>
      </c>
      <c r="L6">
        <v>0.51125193863207952</v>
      </c>
      <c r="M6">
        <v>68493</v>
      </c>
      <c r="N6">
        <v>7.8004434367767203E-2</v>
      </c>
      <c r="O6" t="str">
        <f t="shared" si="0"/>
        <v>&lt;40 large_plus</v>
      </c>
    </row>
    <row r="7" spans="1:15" x14ac:dyDescent="0.3">
      <c r="A7" t="s">
        <v>4</v>
      </c>
      <c r="B7" t="s">
        <v>35</v>
      </c>
      <c r="C7" t="s">
        <v>33</v>
      </c>
      <c r="D7">
        <v>252</v>
      </c>
      <c r="E7">
        <v>504</v>
      </c>
      <c r="F7">
        <v>975.44819700210144</v>
      </c>
      <c r="G7">
        <v>999.73233476501321</v>
      </c>
      <c r="H7">
        <v>914.310030361754</v>
      </c>
      <c r="I7">
        <v>955.77884098490051</v>
      </c>
      <c r="J7">
        <v>0.97570936047735246</v>
      </c>
      <c r="K7">
        <v>-1.2154033847559469</v>
      </c>
      <c r="L7">
        <v>0.22472488553728151</v>
      </c>
      <c r="M7">
        <v>60663</v>
      </c>
      <c r="N7">
        <v>0.31561459409058212</v>
      </c>
      <c r="O7" t="str">
        <f t="shared" si="0"/>
        <v>&lt;40 large_plus</v>
      </c>
    </row>
    <row r="8" spans="1:15" x14ac:dyDescent="0.3">
      <c r="A8" t="s">
        <v>5</v>
      </c>
      <c r="B8" t="s">
        <v>31</v>
      </c>
      <c r="C8" t="s">
        <v>32</v>
      </c>
      <c r="D8">
        <v>2099</v>
      </c>
      <c r="E8">
        <v>4464</v>
      </c>
      <c r="F8">
        <v>140.71805166126731</v>
      </c>
      <c r="G8">
        <v>125.6436071628584</v>
      </c>
      <c r="H8">
        <v>131.055556</v>
      </c>
      <c r="I8">
        <v>115.052632</v>
      </c>
      <c r="J8">
        <v>1.119977807377573</v>
      </c>
      <c r="K8">
        <v>9.3731612041939876</v>
      </c>
      <c r="L8">
        <v>1.104375465154114E-20</v>
      </c>
      <c r="M8">
        <v>5529263.5</v>
      </c>
      <c r="N8">
        <v>4.2306055083798398E-32</v>
      </c>
      <c r="O8" t="str">
        <f t="shared" si="0"/>
        <v>40–70 small</v>
      </c>
    </row>
    <row r="9" spans="1:15" x14ac:dyDescent="0.3">
      <c r="A9" t="s">
        <v>5</v>
      </c>
      <c r="B9" t="s">
        <v>31</v>
      </c>
      <c r="C9" t="s">
        <v>33</v>
      </c>
      <c r="D9">
        <v>2099</v>
      </c>
      <c r="E9">
        <v>4464</v>
      </c>
      <c r="F9">
        <v>706.88346152582506</v>
      </c>
      <c r="G9">
        <v>739.89451465295542</v>
      </c>
      <c r="H9">
        <v>685.971484861774</v>
      </c>
      <c r="I9">
        <v>722.05756149900208</v>
      </c>
      <c r="J9">
        <v>0.95538410885149749</v>
      </c>
      <c r="K9">
        <v>-7.4834189340998893</v>
      </c>
      <c r="L9">
        <v>8.6670064675558643E-14</v>
      </c>
      <c r="M9">
        <v>4143574</v>
      </c>
      <c r="N9">
        <v>3.9615437115573128E-14</v>
      </c>
      <c r="O9" t="str">
        <f t="shared" si="0"/>
        <v>40–70 small</v>
      </c>
    </row>
    <row r="10" spans="1:15" x14ac:dyDescent="0.3">
      <c r="A10" t="s">
        <v>5</v>
      </c>
      <c r="B10" t="s">
        <v>34</v>
      </c>
      <c r="C10" t="s">
        <v>32</v>
      </c>
      <c r="D10">
        <v>5447</v>
      </c>
      <c r="E10">
        <v>14163</v>
      </c>
      <c r="F10">
        <v>137.49711042078209</v>
      </c>
      <c r="G10">
        <v>123.1008291371884</v>
      </c>
      <c r="H10">
        <v>128.692308</v>
      </c>
      <c r="I10">
        <v>110.714286</v>
      </c>
      <c r="J10">
        <v>1.1169470700116071</v>
      </c>
      <c r="K10">
        <v>14.75457494391223</v>
      </c>
      <c r="L10">
        <v>8.604976012453972E-49</v>
      </c>
      <c r="M10">
        <v>45528039</v>
      </c>
      <c r="N10">
        <v>1.9603205811792301E-85</v>
      </c>
      <c r="O10" t="str">
        <f t="shared" si="0"/>
        <v>40–70 medium</v>
      </c>
    </row>
    <row r="11" spans="1:15" x14ac:dyDescent="0.3">
      <c r="A11" t="s">
        <v>5</v>
      </c>
      <c r="B11" t="s">
        <v>34</v>
      </c>
      <c r="C11" t="s">
        <v>33</v>
      </c>
      <c r="D11">
        <v>5447</v>
      </c>
      <c r="E11">
        <v>14163</v>
      </c>
      <c r="F11">
        <v>818.82393054785564</v>
      </c>
      <c r="G11">
        <v>883.35806856743193</v>
      </c>
      <c r="H11">
        <v>792.92917723708797</v>
      </c>
      <c r="I11">
        <v>848.65541686834797</v>
      </c>
      <c r="J11">
        <v>0.92694453097119134</v>
      </c>
      <c r="K11">
        <v>-18.642889808722771</v>
      </c>
      <c r="L11">
        <v>1.8282809539357421E-76</v>
      </c>
      <c r="M11">
        <v>32721882</v>
      </c>
      <c r="N11">
        <v>5.2354203603172058E-61</v>
      </c>
      <c r="O11" t="str">
        <f t="shared" si="0"/>
        <v>40–70 medium</v>
      </c>
    </row>
    <row r="12" spans="1:15" x14ac:dyDescent="0.3">
      <c r="A12" t="s">
        <v>5</v>
      </c>
      <c r="B12" t="s">
        <v>35</v>
      </c>
      <c r="C12" t="s">
        <v>32</v>
      </c>
      <c r="D12">
        <v>2093</v>
      </c>
      <c r="E12">
        <v>4287</v>
      </c>
      <c r="F12">
        <v>149.34348725895839</v>
      </c>
      <c r="G12">
        <v>146.6176046895265</v>
      </c>
      <c r="H12">
        <v>137.3125</v>
      </c>
      <c r="I12">
        <v>131.25</v>
      </c>
      <c r="J12">
        <v>1.018591782175164</v>
      </c>
      <c r="K12">
        <v>1.559008863358025</v>
      </c>
      <c r="L12">
        <v>0.1190518977780587</v>
      </c>
      <c r="M12">
        <v>4883258.5</v>
      </c>
      <c r="N12">
        <v>9.1278412684370309E-9</v>
      </c>
      <c r="O12" t="str">
        <f t="shared" si="0"/>
        <v>40–70 large_plus</v>
      </c>
    </row>
    <row r="13" spans="1:15" x14ac:dyDescent="0.3">
      <c r="A13" t="s">
        <v>5</v>
      </c>
      <c r="B13" t="s">
        <v>35</v>
      </c>
      <c r="C13" t="s">
        <v>33</v>
      </c>
      <c r="D13">
        <v>2093</v>
      </c>
      <c r="E13">
        <v>4287</v>
      </c>
      <c r="F13">
        <v>1009.583410272617</v>
      </c>
      <c r="G13">
        <v>1046.3162170763619</v>
      </c>
      <c r="H13">
        <v>964.44972386749203</v>
      </c>
      <c r="I13">
        <v>1005.11005671501</v>
      </c>
      <c r="J13">
        <v>0.96489320703985137</v>
      </c>
      <c r="K13">
        <v>-4.9618987019905081</v>
      </c>
      <c r="L13">
        <v>7.233184279313364E-7</v>
      </c>
      <c r="M13">
        <v>4187429</v>
      </c>
      <c r="N13">
        <v>1.508319428787556E-5</v>
      </c>
      <c r="O13" t="str">
        <f t="shared" si="0"/>
        <v>40–70 large_plus</v>
      </c>
    </row>
    <row r="14" spans="1:15" x14ac:dyDescent="0.3">
      <c r="A14" t="s">
        <v>6</v>
      </c>
      <c r="B14" t="s">
        <v>31</v>
      </c>
      <c r="C14" t="s">
        <v>32</v>
      </c>
      <c r="D14">
        <v>1668</v>
      </c>
      <c r="E14">
        <v>3033</v>
      </c>
      <c r="F14">
        <v>157.4757419214628</v>
      </c>
      <c r="G14">
        <v>130.75635540982529</v>
      </c>
      <c r="H14">
        <v>137.1</v>
      </c>
      <c r="I14">
        <v>116.1</v>
      </c>
      <c r="J14">
        <v>1.2043448398962471</v>
      </c>
      <c r="K14">
        <v>9.6101755419485979</v>
      </c>
      <c r="L14">
        <v>1.6194326981291859E-21</v>
      </c>
      <c r="M14">
        <v>3040877.5</v>
      </c>
      <c r="N14">
        <v>1.5661335196272951E-30</v>
      </c>
      <c r="O14" t="str">
        <f t="shared" si="0"/>
        <v>&gt;70 small</v>
      </c>
    </row>
    <row r="15" spans="1:15" x14ac:dyDescent="0.3">
      <c r="A15" t="s">
        <v>6</v>
      </c>
      <c r="B15" t="s">
        <v>31</v>
      </c>
      <c r="C15" t="s">
        <v>33</v>
      </c>
      <c r="D15">
        <v>1668</v>
      </c>
      <c r="E15">
        <v>3033</v>
      </c>
      <c r="F15">
        <v>826.39954542314774</v>
      </c>
      <c r="G15">
        <v>873.04183454068016</v>
      </c>
      <c r="H15">
        <v>802.57921850718401</v>
      </c>
      <c r="I15">
        <v>828.85134233413703</v>
      </c>
      <c r="J15">
        <v>0.94657496666002083</v>
      </c>
      <c r="K15">
        <v>-6.5695705385387013</v>
      </c>
      <c r="L15">
        <v>5.7116198717259872E-11</v>
      </c>
      <c r="M15">
        <v>2284520</v>
      </c>
      <c r="N15">
        <v>3.7380378587695602E-8</v>
      </c>
      <c r="O15" t="str">
        <f t="shared" si="0"/>
        <v>&gt;70 small</v>
      </c>
    </row>
    <row r="16" spans="1:15" x14ac:dyDescent="0.3">
      <c r="A16" t="s">
        <v>6</v>
      </c>
      <c r="B16" t="s">
        <v>34</v>
      </c>
      <c r="C16" t="s">
        <v>32</v>
      </c>
      <c r="D16">
        <v>3636</v>
      </c>
      <c r="E16">
        <v>7944</v>
      </c>
      <c r="F16">
        <v>154.45347696809679</v>
      </c>
      <c r="G16">
        <v>131.1783034539275</v>
      </c>
      <c r="H16">
        <v>139.54464300000001</v>
      </c>
      <c r="I16">
        <v>118.4920635</v>
      </c>
      <c r="J16">
        <v>1.1774315790137051</v>
      </c>
      <c r="K16">
        <v>14.250063114860509</v>
      </c>
      <c r="L16">
        <v>2.0737059631948911E-45</v>
      </c>
      <c r="M16">
        <v>17544000</v>
      </c>
      <c r="N16">
        <v>4.8346132929924427E-77</v>
      </c>
      <c r="O16" t="str">
        <f t="shared" si="0"/>
        <v>&gt;70 medium</v>
      </c>
    </row>
    <row r="17" spans="1:15" x14ac:dyDescent="0.3">
      <c r="A17" t="s">
        <v>6</v>
      </c>
      <c r="B17" t="s">
        <v>34</v>
      </c>
      <c r="C17" t="s">
        <v>33</v>
      </c>
      <c r="D17">
        <v>3636</v>
      </c>
      <c r="E17">
        <v>7944</v>
      </c>
      <c r="F17">
        <v>1008.334717267925</v>
      </c>
      <c r="G17">
        <v>988.43433257530876</v>
      </c>
      <c r="H17">
        <v>980.52603681162202</v>
      </c>
      <c r="I17">
        <v>940.79180943110396</v>
      </c>
      <c r="J17">
        <v>1.020133239039529</v>
      </c>
      <c r="K17">
        <v>3.4929776398488102</v>
      </c>
      <c r="L17">
        <v>4.8054574306725608E-4</v>
      </c>
      <c r="M17">
        <v>15211659</v>
      </c>
      <c r="N17">
        <v>4.0525000991105533E-6</v>
      </c>
      <c r="O17" t="str">
        <f t="shared" si="0"/>
        <v>&gt;70 medium</v>
      </c>
    </row>
    <row r="18" spans="1:15" x14ac:dyDescent="0.3">
      <c r="A18" t="s">
        <v>6</v>
      </c>
      <c r="B18" t="s">
        <v>35</v>
      </c>
      <c r="C18" t="s">
        <v>32</v>
      </c>
      <c r="D18">
        <v>2791</v>
      </c>
      <c r="E18">
        <v>4072</v>
      </c>
      <c r="F18">
        <v>180.3230714364027</v>
      </c>
      <c r="G18">
        <v>160.75183423305501</v>
      </c>
      <c r="H18">
        <v>156.466667</v>
      </c>
      <c r="I18">
        <v>137.75</v>
      </c>
      <c r="J18">
        <v>1.12174814238806</v>
      </c>
      <c r="K18">
        <v>7.9036068190573783</v>
      </c>
      <c r="L18">
        <v>3.1829904701543138E-15</v>
      </c>
      <c r="M18">
        <v>6754849</v>
      </c>
      <c r="N18">
        <v>2.3030803577388879E-40</v>
      </c>
      <c r="O18" t="str">
        <f t="shared" si="0"/>
        <v>&gt;70 large_plus</v>
      </c>
    </row>
    <row r="19" spans="1:15" x14ac:dyDescent="0.3">
      <c r="A19" t="s">
        <v>6</v>
      </c>
      <c r="B19" t="s">
        <v>35</v>
      </c>
      <c r="C19" t="s">
        <v>33</v>
      </c>
      <c r="D19">
        <v>2791</v>
      </c>
      <c r="E19">
        <v>4072</v>
      </c>
      <c r="F19">
        <v>1315.813499286493</v>
      </c>
      <c r="G19">
        <v>1310.0060672167469</v>
      </c>
      <c r="H19">
        <v>1307.7042593686299</v>
      </c>
      <c r="I19">
        <v>1271.6052453668649</v>
      </c>
      <c r="J19">
        <v>1.0044331337198189</v>
      </c>
      <c r="K19">
        <v>0.63647291444440901</v>
      </c>
      <c r="L19">
        <v>0.52449069382955127</v>
      </c>
      <c r="M19">
        <v>5863284</v>
      </c>
      <c r="N19">
        <v>2.4928351192916118E-2</v>
      </c>
      <c r="O19" t="str">
        <f t="shared" si="0"/>
        <v>&gt;70 large_plus</v>
      </c>
    </row>
  </sheetData>
  <conditionalFormatting sqref="D2:E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">
    <cfRule type="cellIs" dxfId="2" priority="9" operator="lessThan">
      <formula>$F$2</formula>
    </cfRule>
  </conditionalFormatting>
  <conditionalFormatting sqref="L2:L19">
    <cfRule type="cellIs" dxfId="1" priority="2" operator="greaterThan">
      <formula>0.005</formula>
    </cfRule>
  </conditionalFormatting>
  <conditionalFormatting sqref="N2:N19">
    <cfRule type="cellIs" dxfId="0" priority="1" operator="greaterThan">
      <formula>0.005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Выводы</vt:lpstr>
      <vt:lpstr>Цифры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Daria</cp:lastModifiedBy>
  <dcterms:created xsi:type="dcterms:W3CDTF">2025-12-03T15:04:55Z</dcterms:created>
  <dcterms:modified xsi:type="dcterms:W3CDTF">2025-12-05T17:43:51Z</dcterms:modified>
</cp:coreProperties>
</file>